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stanislavhvostov/Downloads/"/>
    </mc:Choice>
  </mc:AlternateContent>
  <xr:revisionPtr revIDLastSave="0" documentId="13_ncr:1_{C34541AA-D074-764D-B9C2-DF31881E480A}" xr6:coauthVersionLast="47" xr6:coauthVersionMax="47" xr10:uidLastSave="{00000000-0000-0000-0000-000000000000}"/>
  <bookViews>
    <workbookView xWindow="0" yWindow="580" windowWidth="27040" windowHeight="15540" xr2:uid="{00000000-000D-0000-FFFF-FFFF00000000}"/>
  </bookViews>
  <sheets>
    <sheet name="Актуальные " sheetId="4" r:id="rId1"/>
    <sheet name="Лист3" sheetId="5" r:id="rId2"/>
    <sheet name="Лист1" sheetId="2" state="hidden" r:id="rId3"/>
    <sheet name="Лист2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5" i="4" l="1"/>
  <c r="R18" i="3" l="1"/>
  <c r="R11" i="3"/>
  <c r="Q15" i="3"/>
  <c r="R15" i="3" s="1"/>
  <c r="Q14" i="3"/>
  <c r="R14" i="3" s="1"/>
  <c r="Q11" i="3"/>
  <c r="R16" i="3" l="1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K23" i="2"/>
  <c r="J23" i="2"/>
  <c r="H30" i="2"/>
  <c r="I30" i="2"/>
  <c r="H31" i="2"/>
  <c r="I31" i="2"/>
  <c r="H32" i="2"/>
  <c r="I32" i="2"/>
  <c r="H34" i="2"/>
  <c r="I34" i="2"/>
  <c r="H35" i="2"/>
  <c r="I35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G23" i="2"/>
  <c r="F23" i="2"/>
  <c r="E24" i="2"/>
  <c r="E25" i="2"/>
  <c r="E26" i="2"/>
  <c r="E27" i="2"/>
  <c r="E28" i="2"/>
  <c r="E29" i="2"/>
  <c r="E30" i="2"/>
  <c r="E31" i="2"/>
  <c r="E32" i="2"/>
  <c r="E33" i="2"/>
  <c r="E34" i="2"/>
  <c r="E35" i="2"/>
  <c r="D24" i="2"/>
  <c r="D25" i="2"/>
  <c r="D26" i="2"/>
  <c r="D27" i="2"/>
  <c r="D28" i="2"/>
  <c r="D29" i="2"/>
  <c r="D30" i="2"/>
  <c r="D31" i="2"/>
  <c r="D32" i="2"/>
  <c r="D33" i="2"/>
  <c r="D34" i="2"/>
  <c r="D35" i="2"/>
  <c r="E23" i="2"/>
  <c r="D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C23" i="2"/>
  <c r="B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Рожков Никита Анатольевич</author>
  </authors>
  <commentList>
    <comment ref="E4" authorId="0" shapeId="0" xr:uid="{DE073493-5207-470C-A8E1-03265FEADB47}">
      <text>
        <r>
          <rPr>
            <b/>
            <sz val="9"/>
            <color indexed="81"/>
            <rFont val="Tahoma"/>
            <family val="2"/>
            <charset val="204"/>
          </rPr>
          <t>Рожков Никита Анатольевич:</t>
        </r>
        <r>
          <rPr>
            <sz val="9"/>
            <color indexed="81"/>
            <rFont val="Tahoma"/>
            <family val="2"/>
            <charset val="204"/>
          </rPr>
          <t xml:space="preserve">
Нет собсвтенного парка
</t>
        </r>
      </text>
    </comment>
  </commentList>
</comments>
</file>

<file path=xl/sharedStrings.xml><?xml version="1.0" encoding="utf-8"?>
<sst xmlns="http://schemas.openxmlformats.org/spreadsheetml/2006/main" count="189" uniqueCount="86">
  <si>
    <t>Сияние</t>
  </si>
  <si>
    <t>Буш</t>
  </si>
  <si>
    <t>Караван</t>
  </si>
  <si>
    <t>33п(с НДС)</t>
  </si>
  <si>
    <t>40п(с НДС)</t>
  </si>
  <si>
    <t>Брянск</t>
  </si>
  <si>
    <t>Ярославль</t>
  </si>
  <si>
    <t>Воронеж</t>
  </si>
  <si>
    <t>СПБ</t>
  </si>
  <si>
    <t>Казань</t>
  </si>
  <si>
    <t>Волгоград</t>
  </si>
  <si>
    <t>Краснодар</t>
  </si>
  <si>
    <t>Самара</t>
  </si>
  <si>
    <t>Екатеринбург</t>
  </si>
  <si>
    <t>Новосибирск</t>
  </si>
  <si>
    <t>Хабаровск</t>
  </si>
  <si>
    <t>Красноярск</t>
  </si>
  <si>
    <t>Иркутск</t>
  </si>
  <si>
    <t>Уфа</t>
  </si>
  <si>
    <t>АЗИМУТ</t>
  </si>
  <si>
    <t>41п(с НДС)</t>
  </si>
  <si>
    <t>Наткар</t>
  </si>
  <si>
    <t>Виллайн</t>
  </si>
  <si>
    <t>Норд Лайн</t>
  </si>
  <si>
    <t>Новосибирск-экспресс</t>
  </si>
  <si>
    <t>Хабаровск-экспресс</t>
  </si>
  <si>
    <t>Красноярск-экспресс</t>
  </si>
  <si>
    <t>Иркутск-экспресс</t>
  </si>
  <si>
    <t>ЕманТрансАвто</t>
  </si>
  <si>
    <t>Олимп</t>
  </si>
  <si>
    <t>ФК ПУЛЬС</t>
  </si>
  <si>
    <t>33п с НДС</t>
  </si>
  <si>
    <t>ООО "Югмакс"</t>
  </si>
  <si>
    <t xml:space="preserve"> Новая Линия МОСКВА</t>
  </si>
  <si>
    <t>ЙЕС</t>
  </si>
  <si>
    <t>ООО «Агрокапитал» </t>
  </si>
  <si>
    <t>ООО "Зеленая миля"</t>
  </si>
  <si>
    <t>УФА</t>
  </si>
  <si>
    <t>% разниц.</t>
  </si>
  <si>
    <t>Руб. разниц</t>
  </si>
  <si>
    <t>ФК ПУЛЬС
 - ООО "Югмакс"</t>
  </si>
  <si>
    <t>ФК ПУЛЬС
- Новая Линия МОСКВА</t>
  </si>
  <si>
    <t>ФК ПУЛЬС - 
ЙЕС</t>
  </si>
  <si>
    <t>ФК ПУЛЬС - 
ООО «Агрокапитал» </t>
  </si>
  <si>
    <t>ФК ПУЛЬС - 
ООО "Зеленая миля"</t>
  </si>
  <si>
    <t>Примум</t>
  </si>
  <si>
    <t>СтрансАвто</t>
  </si>
  <si>
    <t xml:space="preserve">33п с НДС </t>
  </si>
  <si>
    <t>NEW</t>
  </si>
  <si>
    <t>Предложение ООО "ФК ПУЛЬС"</t>
  </si>
  <si>
    <t>Азимут</t>
  </si>
  <si>
    <t>Буш-Авто</t>
  </si>
  <si>
    <t>Агро-Авто</t>
  </si>
  <si>
    <t>РК</t>
  </si>
  <si>
    <t>Время</t>
  </si>
  <si>
    <t>ПН</t>
  </si>
  <si>
    <t>Понедельник</t>
  </si>
  <si>
    <t>ВТ</t>
  </si>
  <si>
    <t>Вторник</t>
  </si>
  <si>
    <t>СР</t>
  </si>
  <si>
    <t>Среда</t>
  </si>
  <si>
    <t>ЧТ</t>
  </si>
  <si>
    <t>Четверг</t>
  </si>
  <si>
    <t>ПТ</t>
  </si>
  <si>
    <t>Пятница</t>
  </si>
  <si>
    <t>ПУЛЬС Ярославль</t>
  </si>
  <si>
    <t>ПУЛЬС Казань</t>
  </si>
  <si>
    <t>ПУЛЬС Новосибирск</t>
  </si>
  <si>
    <t>ПУЛЬС Воронеж</t>
  </si>
  <si>
    <t>ПУЛЬС Краснодар</t>
  </si>
  <si>
    <t>ПУЛЬС Волгоград</t>
  </si>
  <si>
    <t>ПУЛЬС Самара</t>
  </si>
  <si>
    <t>ПУЛЬС Екатеринбург</t>
  </si>
  <si>
    <t>ПУЛЬС Красноярск</t>
  </si>
  <si>
    <t>ПУЛЬС Иркутск</t>
  </si>
  <si>
    <t>ПУЛЬС Хабаровск</t>
  </si>
  <si>
    <t>ПУЛЬС СПБ</t>
  </si>
  <si>
    <t>ПУЛЬС Брянск</t>
  </si>
  <si>
    <t>Запрос на индексацию</t>
  </si>
  <si>
    <t>Веб-Логистика</t>
  </si>
  <si>
    <t>Запрос на индексацию (Подтверждены Краснодар и ЕКБ )</t>
  </si>
  <si>
    <t xml:space="preserve">Запрос на Индексацию </t>
  </si>
  <si>
    <t xml:space="preserve">Средний </t>
  </si>
  <si>
    <t>ИП Коршунов</t>
  </si>
  <si>
    <t>ИП Мельник</t>
  </si>
  <si>
    <t>ИП Гусманов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</si>
</sst>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₽&quot;"/>
    <numFmt numFmtId="165" formatCode="#,##0.00\ &quot;₽&quot;"/>
    <numFmt numFmtId="166" formatCode="#,##0\ _₽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sz val="1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/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10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4" fontId="0" fillId="5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1" fillId="0" borderId="0" xfId="0" applyNumberFormat="1" applyFont="1"/>
    <xf numFmtId="166" fontId="0" fillId="0" borderId="1" xfId="0" applyNumberFormat="1" applyBorder="1" applyAlignment="1">
      <alignment horizontal="center" vertical="center"/>
    </xf>
    <xf numFmtId="9" fontId="6" fillId="0" borderId="7" xfId="2" applyFont="1" applyFill="1" applyBorder="1" applyAlignment="1">
      <alignment horizontal="center" vertical="center"/>
    </xf>
    <xf numFmtId="9" fontId="7" fillId="6" borderId="8" xfId="2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9" fontId="7" fillId="6" borderId="10" xfId="2" applyFont="1" applyFill="1" applyBorder="1" applyAlignment="1">
      <alignment horizontal="center" vertical="center"/>
    </xf>
    <xf numFmtId="9" fontId="7" fillId="6" borderId="11" xfId="2" applyFont="1" applyFill="1" applyBorder="1" applyAlignment="1">
      <alignment horizontal="center" vertical="center"/>
    </xf>
    <xf numFmtId="9" fontId="8" fillId="0" borderId="12" xfId="2" applyFont="1" applyBorder="1" applyAlignment="1"/>
    <xf numFmtId="9" fontId="9" fillId="6" borderId="13" xfId="2" applyFont="1" applyFill="1" applyBorder="1" applyAlignment="1">
      <alignment horizontal="center" vertical="center"/>
    </xf>
    <xf numFmtId="9" fontId="9" fillId="7" borderId="1" xfId="2" applyFont="1" applyFill="1" applyBorder="1" applyAlignment="1">
      <alignment horizontal="center" vertical="center"/>
    </xf>
    <xf numFmtId="9" fontId="9" fillId="6" borderId="14" xfId="2" applyFont="1" applyFill="1" applyBorder="1" applyAlignment="1">
      <alignment horizontal="center" vertical="center"/>
    </xf>
    <xf numFmtId="9" fontId="9" fillId="7" borderId="2" xfId="2" applyFont="1" applyFill="1" applyBorder="1" applyAlignment="1">
      <alignment horizontal="center" vertical="center"/>
    </xf>
    <xf numFmtId="9" fontId="9" fillId="6" borderId="15" xfId="2" applyFont="1" applyFill="1" applyBorder="1" applyAlignment="1">
      <alignment horizontal="center" vertical="center"/>
    </xf>
    <xf numFmtId="9" fontId="9" fillId="6" borderId="16" xfId="2" applyFont="1" applyFill="1" applyBorder="1" applyAlignment="1">
      <alignment horizontal="center" vertical="center"/>
    </xf>
    <xf numFmtId="0" fontId="10" fillId="7" borderId="17" xfId="2" applyNumberFormat="1" applyFont="1" applyFill="1" applyBorder="1" applyAlignment="1">
      <alignment horizontal="left" vertical="center"/>
    </xf>
    <xf numFmtId="20" fontId="7" fillId="6" borderId="1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2" applyNumberFormat="1" applyFont="1" applyFill="1" applyBorder="1" applyAlignment="1">
      <alignment horizontal="center" vertical="center" wrapText="1"/>
    </xf>
    <xf numFmtId="20" fontId="9" fillId="6" borderId="1" xfId="2" applyNumberFormat="1" applyFont="1" applyFill="1" applyBorder="1" applyAlignment="1">
      <alignment horizontal="center" vertical="center"/>
    </xf>
    <xf numFmtId="0" fontId="10" fillId="7" borderId="15" xfId="2" applyNumberFormat="1" applyFont="1" applyFill="1" applyBorder="1" applyAlignment="1">
      <alignment vertical="center"/>
    </xf>
    <xf numFmtId="0" fontId="12" fillId="7" borderId="15" xfId="2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7" borderId="20" xfId="2" applyNumberFormat="1" applyFont="1" applyFill="1" applyBorder="1" applyAlignment="1">
      <alignment vertical="center"/>
    </xf>
    <xf numFmtId="20" fontId="7" fillId="6" borderId="2" xfId="2" applyNumberFormat="1" applyFont="1" applyFill="1" applyBorder="1" applyAlignment="1">
      <alignment horizontal="center" vertical="center"/>
    </xf>
    <xf numFmtId="20" fontId="9" fillId="6" borderId="2" xfId="2" applyNumberFormat="1" applyFont="1" applyFill="1" applyBorder="1" applyAlignment="1">
      <alignment horizontal="center" vertical="center"/>
    </xf>
    <xf numFmtId="0" fontId="12" fillId="7" borderId="19" xfId="2" applyNumberFormat="1" applyFont="1" applyFill="1" applyBorder="1" applyAlignment="1">
      <alignment horizontal="left" vertical="center"/>
    </xf>
    <xf numFmtId="0" fontId="10" fillId="7" borderId="18" xfId="2" applyNumberFormat="1" applyFont="1" applyFill="1" applyBorder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6" fontId="0" fillId="0" borderId="0" xfId="0" applyNumberFormat="1"/>
    <xf numFmtId="14" fontId="1" fillId="0" borderId="0" xfId="0" applyNumberFormat="1" applyFont="1" applyAlignment="1">
      <alignment wrapText="1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0" fillId="7" borderId="18" xfId="2" applyNumberFormat="1" applyFont="1" applyFill="1" applyBorder="1" applyAlignment="1">
      <alignment horizontal="left" vertical="center"/>
    </xf>
    <xf numFmtId="0" fontId="10" fillId="7" borderId="17" xfId="2" applyNumberFormat="1" applyFont="1" applyFill="1" applyBorder="1" applyAlignment="1">
      <alignment horizontal="left" vertical="center"/>
    </xf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0EC7-AC33-4A9F-90DC-87902823BDE2}">
  <sheetPr codeName="Лист2"/>
  <dimension ref="A2:U22"/>
  <sheetViews>
    <sheetView tabSelected="1" zoomScale="91" workbookViewId="0">
      <selection activeCell="N26" sqref="N26"/>
    </sheetView>
  </sheetViews>
  <sheetFormatPr baseColWidth="10" defaultColWidth="8.83203125" defaultRowHeight="15" x14ac:dyDescent="0.2"/>
  <cols>
    <col min="1" max="1" width="22" bestFit="1" customWidth="1"/>
    <col min="2" max="2" width="10.6640625" bestFit="1" customWidth="1"/>
    <col min="3" max="3" width="18" customWidth="1"/>
    <col min="4" max="6" width="10.6640625" bestFit="1" customWidth="1"/>
    <col min="7" max="7" width="10.83203125" bestFit="1" customWidth="1"/>
    <col min="8" max="8" width="10.6640625" bestFit="1" customWidth="1"/>
    <col min="9" max="9" width="13" customWidth="1"/>
    <col min="10" max="10" width="15.33203125" bestFit="1" customWidth="1"/>
    <col min="11" max="12" width="10.6640625" bestFit="1" customWidth="1"/>
    <col min="13" max="16" width="13.5" customWidth="1"/>
    <col min="17" max="17" width="10.5" bestFit="1" customWidth="1"/>
    <col min="19" max="19" width="22" bestFit="1" customWidth="1"/>
    <col min="20" max="20" width="13.1640625" bestFit="1" customWidth="1"/>
    <col min="21" max="21" width="11.5" bestFit="1" customWidth="1"/>
  </cols>
  <sheetData>
    <row r="2" spans="1:21" ht="64" x14ac:dyDescent="0.2">
      <c r="B2" s="46" t="s">
        <v>81</v>
      </c>
      <c r="C2" s="43" t="s">
        <v>80</v>
      </c>
      <c r="D2" s="13">
        <v>46218</v>
      </c>
      <c r="I2" s="43" t="s">
        <v>78</v>
      </c>
      <c r="L2" s="43" t="s">
        <v>78</v>
      </c>
      <c r="M2" s="43" t="s">
        <v>78</v>
      </c>
      <c r="N2" s="43"/>
      <c r="O2" s="43"/>
      <c r="P2" s="43"/>
    </row>
    <row r="3" spans="1:21" ht="16" x14ac:dyDescent="0.2">
      <c r="A3" s="48" t="s">
        <v>48</v>
      </c>
      <c r="B3" s="42" t="s">
        <v>0</v>
      </c>
      <c r="C3" s="42" t="s">
        <v>21</v>
      </c>
      <c r="D3" s="42" t="s">
        <v>19</v>
      </c>
      <c r="E3" s="42" t="s">
        <v>45</v>
      </c>
      <c r="F3" s="42" t="s">
        <v>1</v>
      </c>
      <c r="G3" s="42" t="s">
        <v>23</v>
      </c>
      <c r="H3" s="42" t="s">
        <v>2</v>
      </c>
      <c r="I3" s="42" t="s">
        <v>22</v>
      </c>
      <c r="J3" s="42" t="s">
        <v>28</v>
      </c>
      <c r="K3" s="42" t="s">
        <v>29</v>
      </c>
      <c r="L3" s="42" t="s">
        <v>52</v>
      </c>
      <c r="M3" s="44" t="s">
        <v>79</v>
      </c>
      <c r="N3" s="44" t="s">
        <v>83</v>
      </c>
      <c r="O3" s="44" t="s">
        <v>84</v>
      </c>
      <c r="P3" s="44" t="s">
        <v>85</v>
      </c>
      <c r="T3" s="1" t="s">
        <v>50</v>
      </c>
      <c r="U3" s="1" t="s">
        <v>51</v>
      </c>
    </row>
    <row r="4" spans="1:21" x14ac:dyDescent="0.2">
      <c r="A4" s="49"/>
      <c r="B4" s="42" t="s">
        <v>3</v>
      </c>
      <c r="C4" s="42" t="s">
        <v>3</v>
      </c>
      <c r="D4" s="42" t="s">
        <v>3</v>
      </c>
      <c r="E4" s="42" t="s">
        <v>3</v>
      </c>
      <c r="F4" s="42" t="s">
        <v>3</v>
      </c>
      <c r="G4" s="42" t="s">
        <v>3</v>
      </c>
      <c r="H4" s="42" t="s">
        <v>3</v>
      </c>
      <c r="I4" s="42" t="s">
        <v>3</v>
      </c>
      <c r="J4" s="42" t="s">
        <v>3</v>
      </c>
      <c r="K4" s="42" t="s">
        <v>3</v>
      </c>
      <c r="L4" s="42" t="s">
        <v>3</v>
      </c>
      <c r="M4" s="42" t="s">
        <v>3</v>
      </c>
      <c r="N4" s="42" t="s">
        <v>3</v>
      </c>
      <c r="O4" s="42" t="s">
        <v>3</v>
      </c>
      <c r="P4" s="42" t="s">
        <v>3</v>
      </c>
      <c r="Q4" s="47" t="s">
        <v>82</v>
      </c>
      <c r="T4" s="1" t="s">
        <v>20</v>
      </c>
      <c r="U4" s="1" t="s">
        <v>4</v>
      </c>
    </row>
    <row r="5" spans="1:21" x14ac:dyDescent="0.2">
      <c r="A5" s="2" t="s">
        <v>5</v>
      </c>
      <c r="B5" s="14">
        <v>52500</v>
      </c>
      <c r="C5" s="14"/>
      <c r="D5" s="14"/>
      <c r="E5" s="14"/>
      <c r="F5" s="14"/>
      <c r="G5" s="14">
        <v>51000</v>
      </c>
      <c r="H5" s="14"/>
      <c r="I5" s="14"/>
      <c r="J5" s="14">
        <v>51500</v>
      </c>
      <c r="K5" s="14">
        <v>51500</v>
      </c>
      <c r="L5" s="14">
        <v>73000</v>
      </c>
      <c r="M5" s="14"/>
      <c r="N5" s="14"/>
      <c r="O5" s="14"/>
      <c r="P5" s="14"/>
      <c r="Q5" s="45">
        <f>AVERAGE(B5:M5)</f>
        <v>55900</v>
      </c>
      <c r="S5" s="2" t="s">
        <v>5</v>
      </c>
      <c r="T5" s="10"/>
      <c r="U5" s="10"/>
    </row>
    <row r="6" spans="1:21" x14ac:dyDescent="0.2">
      <c r="A6" s="2" t="s">
        <v>6</v>
      </c>
      <c r="B6" s="14">
        <v>52500</v>
      </c>
      <c r="C6" s="14"/>
      <c r="D6" s="14"/>
      <c r="E6" s="14"/>
      <c r="F6" s="14">
        <v>48800</v>
      </c>
      <c r="G6" s="14"/>
      <c r="H6" s="14"/>
      <c r="I6" s="14"/>
      <c r="J6" s="14">
        <v>56500</v>
      </c>
      <c r="K6" s="14">
        <v>56500</v>
      </c>
      <c r="L6" s="14">
        <v>77000</v>
      </c>
      <c r="M6" s="14"/>
      <c r="N6" s="14">
        <v>52000</v>
      </c>
      <c r="O6" s="14">
        <v>52000</v>
      </c>
      <c r="P6" s="14">
        <v>47000</v>
      </c>
      <c r="Q6" s="45">
        <f>AVERAGE(B6:P6)</f>
        <v>55287.5</v>
      </c>
      <c r="S6" s="2" t="s">
        <v>6</v>
      </c>
      <c r="T6" s="10"/>
      <c r="U6" s="10">
        <v>58967</v>
      </c>
    </row>
    <row r="7" spans="1:21" x14ac:dyDescent="0.2">
      <c r="A7" s="2" t="s">
        <v>7</v>
      </c>
      <c r="B7" s="14">
        <v>65000</v>
      </c>
      <c r="C7" s="14"/>
      <c r="D7" s="14"/>
      <c r="E7" s="14"/>
      <c r="F7" s="14">
        <v>57950</v>
      </c>
      <c r="G7" s="14"/>
      <c r="H7" s="14"/>
      <c r="I7" s="14"/>
      <c r="J7" s="14">
        <v>65000</v>
      </c>
      <c r="K7" s="14">
        <v>65000</v>
      </c>
      <c r="L7" s="14">
        <v>85000</v>
      </c>
      <c r="M7" s="14"/>
      <c r="N7" s="14"/>
      <c r="O7" s="14"/>
      <c r="P7" s="14"/>
      <c r="Q7" s="45">
        <f t="shared" ref="Q6:Q22" si="0">AVERAGE(B7:M7)</f>
        <v>67590</v>
      </c>
      <c r="S7" s="2" t="s">
        <v>7</v>
      </c>
      <c r="T7" s="10"/>
      <c r="U7" s="10"/>
    </row>
    <row r="8" spans="1:21" x14ac:dyDescent="0.2">
      <c r="A8" s="2" t="s">
        <v>8</v>
      </c>
      <c r="B8" s="14">
        <v>97650</v>
      </c>
      <c r="C8" s="14">
        <v>135000</v>
      </c>
      <c r="D8" s="14"/>
      <c r="E8" s="14"/>
      <c r="F8" s="14">
        <v>96583</v>
      </c>
      <c r="G8" s="14">
        <v>86700</v>
      </c>
      <c r="H8" s="14">
        <v>94000</v>
      </c>
      <c r="I8" s="14"/>
      <c r="J8" s="14">
        <v>97000</v>
      </c>
      <c r="K8" s="14">
        <v>97000</v>
      </c>
      <c r="L8" s="14">
        <v>133000</v>
      </c>
      <c r="M8" s="14"/>
      <c r="N8" s="14"/>
      <c r="O8" s="14"/>
      <c r="P8" s="14"/>
      <c r="Q8" s="45">
        <f t="shared" si="0"/>
        <v>104616.625</v>
      </c>
      <c r="S8" s="2" t="s">
        <v>8</v>
      </c>
      <c r="T8" s="10"/>
      <c r="U8" s="10"/>
    </row>
    <row r="9" spans="1:21" x14ac:dyDescent="0.2">
      <c r="A9" s="2" t="s">
        <v>9</v>
      </c>
      <c r="B9" s="14">
        <v>136500</v>
      </c>
      <c r="C9" s="14">
        <v>143000</v>
      </c>
      <c r="D9" s="14">
        <v>150000</v>
      </c>
      <c r="E9" s="14"/>
      <c r="F9" s="14">
        <v>116917</v>
      </c>
      <c r="G9" s="14">
        <v>118320</v>
      </c>
      <c r="H9" s="14"/>
      <c r="I9" s="14"/>
      <c r="J9" s="14">
        <v>133800</v>
      </c>
      <c r="K9" s="14">
        <v>133800</v>
      </c>
      <c r="L9" s="14">
        <v>157000</v>
      </c>
      <c r="M9" s="14">
        <v>160000</v>
      </c>
      <c r="N9" s="14"/>
      <c r="O9" s="14"/>
      <c r="P9" s="14"/>
      <c r="Q9" s="45">
        <f t="shared" si="0"/>
        <v>138815.22222222222</v>
      </c>
      <c r="S9" s="2" t="s">
        <v>9</v>
      </c>
      <c r="T9" s="10">
        <v>190000</v>
      </c>
      <c r="U9" s="10"/>
    </row>
    <row r="10" spans="1:21" x14ac:dyDescent="0.2">
      <c r="A10" s="2" t="s">
        <v>10</v>
      </c>
      <c r="B10" s="14">
        <v>136500</v>
      </c>
      <c r="C10" s="14">
        <v>155000</v>
      </c>
      <c r="D10" s="14"/>
      <c r="E10" s="14"/>
      <c r="F10" s="14"/>
      <c r="G10" s="14"/>
      <c r="H10" s="14"/>
      <c r="I10" s="14"/>
      <c r="J10" s="14">
        <v>134000</v>
      </c>
      <c r="K10" s="14">
        <v>134000</v>
      </c>
      <c r="L10" s="14">
        <v>157000</v>
      </c>
      <c r="M10" s="14"/>
      <c r="N10" s="14"/>
      <c r="O10" s="14"/>
      <c r="P10" s="14"/>
      <c r="Q10" s="45">
        <f t="shared" si="0"/>
        <v>143300</v>
      </c>
      <c r="S10" s="2" t="s">
        <v>10</v>
      </c>
      <c r="T10" s="10"/>
      <c r="U10" s="10"/>
    </row>
    <row r="11" spans="1:21" x14ac:dyDescent="0.2">
      <c r="A11" s="2" t="s">
        <v>11</v>
      </c>
      <c r="B11" s="14">
        <v>189000</v>
      </c>
      <c r="C11" s="14">
        <v>201600</v>
      </c>
      <c r="D11" s="14">
        <v>265000</v>
      </c>
      <c r="E11" s="14"/>
      <c r="F11" s="14">
        <v>177917</v>
      </c>
      <c r="G11" s="14"/>
      <c r="H11" s="14"/>
      <c r="I11" s="14"/>
      <c r="J11" s="14">
        <v>180000</v>
      </c>
      <c r="K11" s="14">
        <v>180000</v>
      </c>
      <c r="L11" s="14">
        <v>287000</v>
      </c>
      <c r="M11" s="14">
        <v>195000</v>
      </c>
      <c r="N11" s="14"/>
      <c r="O11" s="14"/>
      <c r="P11" s="14"/>
      <c r="Q11" s="45">
        <f t="shared" si="0"/>
        <v>209439.625</v>
      </c>
      <c r="S11" s="2" t="s">
        <v>11</v>
      </c>
      <c r="T11" s="10">
        <v>294000</v>
      </c>
      <c r="U11" s="10">
        <v>198250</v>
      </c>
    </row>
    <row r="12" spans="1:21" x14ac:dyDescent="0.2">
      <c r="A12" s="2" t="s">
        <v>12</v>
      </c>
      <c r="B12" s="14">
        <v>137550</v>
      </c>
      <c r="C12" s="14">
        <v>166000</v>
      </c>
      <c r="D12" s="14">
        <v>150000</v>
      </c>
      <c r="E12" s="14"/>
      <c r="F12" s="14"/>
      <c r="G12" s="14"/>
      <c r="H12" s="14"/>
      <c r="I12" s="14"/>
      <c r="J12" s="14">
        <v>134200</v>
      </c>
      <c r="K12" s="14">
        <v>134200</v>
      </c>
      <c r="L12" s="14">
        <v>162000</v>
      </c>
      <c r="M12" s="14"/>
      <c r="N12" s="14"/>
      <c r="O12" s="14"/>
      <c r="P12" s="14"/>
      <c r="Q12" s="45">
        <f t="shared" si="0"/>
        <v>147325</v>
      </c>
      <c r="S12" s="2" t="s">
        <v>12</v>
      </c>
      <c r="T12" s="10">
        <v>190000</v>
      </c>
      <c r="U12" s="10"/>
    </row>
    <row r="13" spans="1:21" x14ac:dyDescent="0.2">
      <c r="A13" s="2" t="s">
        <v>13</v>
      </c>
      <c r="B13" s="14">
        <v>252000</v>
      </c>
      <c r="C13" s="14">
        <v>261450</v>
      </c>
      <c r="D13" s="14">
        <v>260000</v>
      </c>
      <c r="E13" s="14">
        <v>300000</v>
      </c>
      <c r="F13" s="14">
        <v>274500</v>
      </c>
      <c r="G13" s="14">
        <v>245000</v>
      </c>
      <c r="H13" s="14"/>
      <c r="I13" s="14"/>
      <c r="J13" s="14">
        <v>280000</v>
      </c>
      <c r="K13" s="14">
        <v>247000</v>
      </c>
      <c r="L13" s="14">
        <v>290000</v>
      </c>
      <c r="M13" s="14">
        <v>250000</v>
      </c>
      <c r="N13" s="14"/>
      <c r="O13" s="14"/>
      <c r="P13" s="14"/>
      <c r="Q13" s="45">
        <f t="shared" si="0"/>
        <v>265995</v>
      </c>
      <c r="S13" s="2" t="s">
        <v>13</v>
      </c>
      <c r="T13" s="10">
        <v>300000</v>
      </c>
      <c r="U13" s="10"/>
    </row>
    <row r="14" spans="1:21" x14ac:dyDescent="0.2">
      <c r="A14" s="2" t="s">
        <v>14</v>
      </c>
      <c r="B14" s="14">
        <v>451500</v>
      </c>
      <c r="C14" s="14">
        <v>495000</v>
      </c>
      <c r="D14" s="14">
        <v>457000</v>
      </c>
      <c r="E14" s="14">
        <v>360000</v>
      </c>
      <c r="F14" s="14"/>
      <c r="G14" s="14"/>
      <c r="H14" s="14"/>
      <c r="I14" s="14">
        <v>450000</v>
      </c>
      <c r="J14" s="14">
        <v>433000</v>
      </c>
      <c r="K14" s="14">
        <v>433000</v>
      </c>
      <c r="L14" s="14">
        <v>455000</v>
      </c>
      <c r="M14" s="14">
        <v>450000</v>
      </c>
      <c r="N14" s="14"/>
      <c r="O14" s="14"/>
      <c r="P14" s="14"/>
      <c r="Q14" s="45">
        <f t="shared" si="0"/>
        <v>442722.22222222225</v>
      </c>
      <c r="S14" s="2" t="s">
        <v>14</v>
      </c>
      <c r="T14" s="10">
        <v>516000</v>
      </c>
      <c r="U14" s="10"/>
    </row>
    <row r="15" spans="1:21" x14ac:dyDescent="0.2">
      <c r="A15" s="2" t="s">
        <v>24</v>
      </c>
      <c r="B15" s="14">
        <v>467250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45">
        <f t="shared" si="0"/>
        <v>467250</v>
      </c>
      <c r="S15" s="2" t="s">
        <v>24</v>
      </c>
      <c r="T15" s="10"/>
      <c r="U15" s="10"/>
    </row>
    <row r="16" spans="1:21" x14ac:dyDescent="0.2">
      <c r="A16" s="2" t="s">
        <v>15</v>
      </c>
      <c r="B16" s="14">
        <v>997500</v>
      </c>
      <c r="C16" s="14"/>
      <c r="D16" s="14">
        <v>940000</v>
      </c>
      <c r="E16" s="14">
        <v>800000</v>
      </c>
      <c r="F16" s="14"/>
      <c r="G16" s="14"/>
      <c r="H16" s="14"/>
      <c r="I16" s="14">
        <v>1050000</v>
      </c>
      <c r="J16" s="14">
        <v>972000</v>
      </c>
      <c r="K16" s="14">
        <v>972000</v>
      </c>
      <c r="L16" s="14">
        <v>997000</v>
      </c>
      <c r="M16" s="14"/>
      <c r="N16" s="14"/>
      <c r="O16" s="14"/>
      <c r="P16" s="14"/>
      <c r="Q16" s="45">
        <f t="shared" si="0"/>
        <v>961214.28571428568</v>
      </c>
      <c r="S16" s="2" t="s">
        <v>15</v>
      </c>
      <c r="T16" s="10">
        <v>1050000</v>
      </c>
      <c r="U16" s="10"/>
    </row>
    <row r="17" spans="1:21" x14ac:dyDescent="0.2">
      <c r="A17" s="2" t="s">
        <v>25</v>
      </c>
      <c r="B17" s="14">
        <v>1023750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45">
        <f t="shared" si="0"/>
        <v>1023750</v>
      </c>
      <c r="S17" s="2" t="s">
        <v>25</v>
      </c>
      <c r="T17" s="10"/>
      <c r="U17" s="10"/>
    </row>
    <row r="18" spans="1:21" x14ac:dyDescent="0.2">
      <c r="A18" s="2" t="s">
        <v>16</v>
      </c>
      <c r="B18" s="14">
        <v>556500</v>
      </c>
      <c r="C18" s="14"/>
      <c r="D18" s="14">
        <v>620000</v>
      </c>
      <c r="E18" s="14">
        <v>420000</v>
      </c>
      <c r="F18" s="14"/>
      <c r="G18" s="14"/>
      <c r="H18" s="14"/>
      <c r="I18" s="14">
        <v>530000</v>
      </c>
      <c r="J18" s="14">
        <v>547000</v>
      </c>
      <c r="K18" s="14">
        <v>547000</v>
      </c>
      <c r="L18" s="14">
        <v>550000</v>
      </c>
      <c r="M18" s="14">
        <v>550000</v>
      </c>
      <c r="N18" s="14"/>
      <c r="O18" s="14"/>
      <c r="P18" s="14"/>
      <c r="Q18" s="45">
        <f t="shared" si="0"/>
        <v>540062.5</v>
      </c>
      <c r="S18" s="2" t="s">
        <v>16</v>
      </c>
      <c r="T18" s="10">
        <v>675000</v>
      </c>
      <c r="U18" s="10"/>
    </row>
    <row r="19" spans="1:21" x14ac:dyDescent="0.2">
      <c r="A19" s="2" t="s">
        <v>26</v>
      </c>
      <c r="B19" s="14">
        <v>582750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45">
        <f t="shared" si="0"/>
        <v>582750</v>
      </c>
      <c r="S19" s="2" t="s">
        <v>26</v>
      </c>
      <c r="T19" s="10"/>
      <c r="U19" s="10"/>
    </row>
    <row r="20" spans="1:21" x14ac:dyDescent="0.2">
      <c r="A20" s="2" t="s">
        <v>17</v>
      </c>
      <c r="B20" s="14">
        <v>682500</v>
      </c>
      <c r="C20" s="14"/>
      <c r="D20" s="14">
        <v>650000</v>
      </c>
      <c r="E20" s="14">
        <v>500000</v>
      </c>
      <c r="F20" s="14"/>
      <c r="G20" s="14"/>
      <c r="H20" s="14"/>
      <c r="I20" s="14"/>
      <c r="J20" s="14">
        <v>660500</v>
      </c>
      <c r="K20" s="14">
        <v>660500</v>
      </c>
      <c r="L20" s="14">
        <v>636000</v>
      </c>
      <c r="M20" s="14"/>
      <c r="N20" s="14"/>
      <c r="O20" s="14"/>
      <c r="P20" s="14"/>
      <c r="Q20" s="45">
        <f t="shared" si="0"/>
        <v>631583.33333333337</v>
      </c>
      <c r="S20" s="2" t="s">
        <v>17</v>
      </c>
      <c r="T20" s="10">
        <v>713000</v>
      </c>
      <c r="U20" s="10"/>
    </row>
    <row r="21" spans="1:21" x14ac:dyDescent="0.2">
      <c r="A21" s="2" t="s">
        <v>27</v>
      </c>
      <c r="B21" s="14">
        <v>708750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45">
        <f t="shared" si="0"/>
        <v>708750</v>
      </c>
      <c r="S21" s="2" t="s">
        <v>27</v>
      </c>
      <c r="T21" s="10"/>
      <c r="U21" s="10"/>
    </row>
    <row r="22" spans="1:21" x14ac:dyDescent="0.2">
      <c r="A22" s="2" t="s">
        <v>18</v>
      </c>
      <c r="B22" s="14">
        <v>189000</v>
      </c>
      <c r="C22" s="14">
        <v>225000</v>
      </c>
      <c r="D22" s="14">
        <v>200000</v>
      </c>
      <c r="E22" s="14"/>
      <c r="F22" s="14">
        <v>162667</v>
      </c>
      <c r="G22" s="14"/>
      <c r="H22" s="14"/>
      <c r="I22" s="14"/>
      <c r="J22" s="14"/>
      <c r="K22" s="14"/>
      <c r="L22" s="14">
        <v>225000</v>
      </c>
      <c r="M22" s="14"/>
      <c r="N22" s="14"/>
      <c r="O22" s="14"/>
      <c r="P22" s="14"/>
      <c r="Q22" s="45">
        <f t="shared" si="0"/>
        <v>200333.4</v>
      </c>
      <c r="S22" s="2" t="s">
        <v>18</v>
      </c>
      <c r="T22" s="10">
        <v>240000</v>
      </c>
      <c r="U22" s="10">
        <v>184017</v>
      </c>
    </row>
  </sheetData>
  <mergeCells count="1">
    <mergeCell ref="A3:A4"/>
  </mergeCells>
  <conditionalFormatting sqref="A6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A15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9:A20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1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2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D5 F5:K5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D6 F6:K6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D7 F7:K7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D8 F8:K8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D9 F9:K9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D11 F11:H11 J11:L11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D13 F13:H13 J13:L13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D13 F13:L13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D14 F14:H14 J14:L14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D14 F14:L14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D16 F16:H16 J16:L16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D16 F16:L16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K5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K6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K7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K8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K9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K10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K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K18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K20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K2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L5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L6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L7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L8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L9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:L10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L11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L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L13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L14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L16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L18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L2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L22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P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1:P1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P13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P1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P1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D5 F5:H5 J5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D6 F6:H6 J6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D7 F7:H7 J7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D8 F8:H8 J8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D9 F9:H9 J9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:D10 F10:H10 J10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D11 F11:H11 J11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D11 F11:H11 J11:L11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:D12 F12:H12 J12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D13 F13:H13 J13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D13 F13:H13 J13:L13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D14 F14:H14 J14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D14 F14:H14 J14:L14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D15 F15:H15 J15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D16 F16:H16 J16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D16 F16:H16 J16:L16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D17 F17:H17 J17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D19 F19:H19 J19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D21 F21:H21 J21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D22 F22:H22 J22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H18 J18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H20 J20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 J8 F8 H8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 D14 F14 H14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5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 D16 F16 H16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 J22 F22 H22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E18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E20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H18 J18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H20 J20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 F5 D5 H5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 F6 D6 H6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 J7 D7 H7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 J9 D9 H9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 J10 D10 H10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 J13 D13 H13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H5 D5 J5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:H6 D6 J6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:H7 D7 J7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H8 D8 J8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9:H9 D9 J9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:H10 D10 J10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H11 D11 J11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:H12 D12 J12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3:H13 D13 J13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:H14 D14 J14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5:H15 D15 J15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6:H16 D16 J16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:H17 D17 J17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H19 D19 J19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:H21 D21 J21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:H22 D22 J22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1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 J17 D17 F17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8 J18 D18:F18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1 J21 D21 F21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3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5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6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1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 J11 D11 H11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 J12 F12 H12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3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5 J15 D15 F15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 J19 D19 F19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 J20 D20:F20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K5 B5:D5 F5:H5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K5 C5:D5 F5:H5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K6 B6:D6 F6:H6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K6 C6:D6 F6:H6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:K7 B7:D7 F7:H7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:K7 C7:D7 F7:H7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:K8 B8:D8 F8:H8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8:K8 C8:D8 F8:H8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K9 B9:D9 F9:H9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K9 C9:D9 F9:H9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:K10 B10:D10 F10:H10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:K10 C10:D10 F10:H10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K12 B12:D12 F12:H12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:K12 C12:D12 F12:H12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:K15 B15:D15 F15:H15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:K15 C15:D15 F15:H15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:K17 B17:D17 F17:H17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:K18 B18:H18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8:K18 C18:H18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K19 B19:D19 F19:H19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K20 B20:H20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K20 C20:H20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1:K21 B21:D21 F21:H21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:K22 B22:D22 F22:H22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P2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3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4:S15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6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8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0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3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4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8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:U5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:U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:U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8:U8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:U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:U10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:U1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:U1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3:U13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4:U1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U15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6:U1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:U1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8:U18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U19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:U2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U21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:U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444B-4611-4A1C-B9E9-35D1B3E1941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2315-1464-4A3C-9F01-B40E8B270253}">
  <sheetPr codeName="Лист3"/>
  <dimension ref="A2:O54"/>
  <sheetViews>
    <sheetView workbookViewId="0">
      <selection activeCell="L39" sqref="L39"/>
    </sheetView>
  </sheetViews>
  <sheetFormatPr baseColWidth="10" defaultColWidth="8.83203125" defaultRowHeight="15" x14ac:dyDescent="0.2"/>
  <cols>
    <col min="1" max="1" width="22" bestFit="1" customWidth="1"/>
    <col min="2" max="2" width="11.5" bestFit="1" customWidth="1"/>
    <col min="3" max="3" width="15.1640625" bestFit="1" customWidth="1"/>
    <col min="4" max="4" width="21.83203125" bestFit="1" customWidth="1"/>
    <col min="5" max="5" width="14.5" customWidth="1"/>
    <col min="6" max="6" width="20.33203125" bestFit="1" customWidth="1"/>
    <col min="7" max="7" width="20.83203125" bestFit="1" customWidth="1"/>
    <col min="8" max="8" width="9.6640625" bestFit="1" customWidth="1"/>
    <col min="9" max="9" width="12.5" customWidth="1"/>
    <col min="10" max="10" width="9.6640625" bestFit="1" customWidth="1"/>
    <col min="11" max="11" width="13.5" customWidth="1"/>
  </cols>
  <sheetData>
    <row r="2" spans="1:15" ht="16" x14ac:dyDescent="0.2">
      <c r="B2" s="6" t="s">
        <v>30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45</v>
      </c>
      <c r="I2" s="6" t="s">
        <v>46</v>
      </c>
    </row>
    <row r="3" spans="1:15" ht="16" x14ac:dyDescent="0.2">
      <c r="B3" s="7" t="s">
        <v>31</v>
      </c>
      <c r="C3" s="7" t="s">
        <v>31</v>
      </c>
      <c r="D3" s="7" t="s">
        <v>31</v>
      </c>
      <c r="E3" s="7" t="s">
        <v>31</v>
      </c>
      <c r="F3" s="7" t="s">
        <v>31</v>
      </c>
      <c r="G3" s="7" t="s">
        <v>31</v>
      </c>
      <c r="H3" s="7" t="s">
        <v>31</v>
      </c>
      <c r="I3" s="6" t="s">
        <v>47</v>
      </c>
    </row>
    <row r="4" spans="1:15" x14ac:dyDescent="0.2">
      <c r="A4" s="2" t="s">
        <v>5</v>
      </c>
      <c r="B4" s="5">
        <v>51500</v>
      </c>
      <c r="C4" s="5">
        <v>65000</v>
      </c>
      <c r="D4" s="5">
        <v>96000</v>
      </c>
      <c r="E4" s="11">
        <v>60000</v>
      </c>
      <c r="F4" s="5"/>
      <c r="G4" s="5">
        <v>140000</v>
      </c>
      <c r="H4" s="4"/>
      <c r="I4" s="4"/>
      <c r="J4" s="4"/>
      <c r="K4" s="4"/>
      <c r="L4" s="4"/>
      <c r="M4" s="4"/>
      <c r="N4" s="4"/>
      <c r="O4" s="4"/>
    </row>
    <row r="5" spans="1:15" x14ac:dyDescent="0.2">
      <c r="A5" s="2" t="s">
        <v>6</v>
      </c>
      <c r="B5" s="5">
        <v>56500</v>
      </c>
      <c r="C5" s="5">
        <v>65000</v>
      </c>
      <c r="D5" s="5">
        <v>83000</v>
      </c>
      <c r="E5" s="11">
        <v>64000</v>
      </c>
      <c r="F5" s="5"/>
      <c r="G5" s="5">
        <v>145000</v>
      </c>
      <c r="H5" s="4"/>
      <c r="I5" s="4"/>
      <c r="J5" s="4"/>
      <c r="K5" s="4"/>
      <c r="L5" s="4"/>
      <c r="M5" s="4"/>
      <c r="N5" s="4"/>
      <c r="O5" s="4"/>
    </row>
    <row r="6" spans="1:15" x14ac:dyDescent="0.2">
      <c r="A6" s="2" t="s">
        <v>7</v>
      </c>
      <c r="B6" s="5">
        <v>65000</v>
      </c>
      <c r="C6" s="5">
        <v>100000</v>
      </c>
      <c r="D6" s="5">
        <v>127000</v>
      </c>
      <c r="E6" s="11">
        <v>75000</v>
      </c>
      <c r="F6" s="5"/>
      <c r="G6" s="5">
        <v>170000</v>
      </c>
      <c r="H6" s="4"/>
      <c r="I6" s="4"/>
      <c r="J6" s="4"/>
      <c r="K6" s="4"/>
      <c r="L6" s="4"/>
      <c r="M6" s="4"/>
      <c r="N6" s="4"/>
      <c r="O6" s="4"/>
    </row>
    <row r="7" spans="1:15" x14ac:dyDescent="0.2">
      <c r="A7" s="2" t="s">
        <v>8</v>
      </c>
      <c r="B7" s="5">
        <v>97000</v>
      </c>
      <c r="C7" s="5">
        <v>135000</v>
      </c>
      <c r="D7" s="5">
        <v>167000</v>
      </c>
      <c r="E7" s="11">
        <v>117000</v>
      </c>
      <c r="F7" s="5"/>
      <c r="G7" s="5">
        <v>195000</v>
      </c>
      <c r="H7" s="4"/>
      <c r="I7" s="4"/>
      <c r="J7" s="4"/>
      <c r="K7" s="4"/>
      <c r="L7" s="4"/>
      <c r="M7" s="4"/>
      <c r="N7" s="4"/>
      <c r="O7" s="4"/>
    </row>
    <row r="8" spans="1:15" x14ac:dyDescent="0.2">
      <c r="A8" s="2" t="s">
        <v>9</v>
      </c>
      <c r="B8" s="5">
        <v>133800</v>
      </c>
      <c r="C8" s="5">
        <v>155000</v>
      </c>
      <c r="D8" s="5">
        <v>207000</v>
      </c>
      <c r="E8" s="11">
        <v>129000</v>
      </c>
      <c r="F8" s="5"/>
      <c r="G8" s="5">
        <v>210000</v>
      </c>
      <c r="H8" s="4"/>
      <c r="I8" s="4"/>
      <c r="J8" s="4"/>
      <c r="K8" s="4"/>
      <c r="L8" s="4"/>
      <c r="M8" s="4"/>
      <c r="N8" s="4"/>
      <c r="O8" s="4"/>
    </row>
    <row r="9" spans="1:15" x14ac:dyDescent="0.2">
      <c r="A9" s="2" t="s">
        <v>10</v>
      </c>
      <c r="B9" s="5">
        <v>134000</v>
      </c>
      <c r="C9" s="5">
        <v>185000</v>
      </c>
      <c r="D9" s="5">
        <v>199000</v>
      </c>
      <c r="E9" s="11">
        <v>139000</v>
      </c>
      <c r="F9" s="5"/>
      <c r="G9" s="5">
        <v>235000</v>
      </c>
      <c r="H9" s="4"/>
      <c r="I9" s="4"/>
      <c r="J9" s="4"/>
      <c r="K9" s="4"/>
      <c r="L9" s="4"/>
      <c r="M9" s="4"/>
      <c r="N9" s="4"/>
      <c r="O9" s="4"/>
    </row>
    <row r="10" spans="1:15" x14ac:dyDescent="0.2">
      <c r="A10" s="2" t="s">
        <v>11</v>
      </c>
      <c r="B10" s="5">
        <v>180000</v>
      </c>
      <c r="C10" s="5">
        <v>225000</v>
      </c>
      <c r="D10" s="5">
        <v>254000</v>
      </c>
      <c r="E10" s="11">
        <v>185000</v>
      </c>
      <c r="F10" s="5"/>
      <c r="G10" s="5">
        <v>272000</v>
      </c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2" t="s">
        <v>12</v>
      </c>
      <c r="B11" s="5">
        <v>134200</v>
      </c>
      <c r="C11" s="5">
        <v>185000</v>
      </c>
      <c r="D11" s="5">
        <v>222000</v>
      </c>
      <c r="E11" s="11">
        <v>144000</v>
      </c>
      <c r="F11" s="5"/>
      <c r="G11" s="5">
        <v>236000</v>
      </c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s="2" t="s">
        <v>13</v>
      </c>
      <c r="B12" s="5">
        <v>280000</v>
      </c>
      <c r="C12" s="5">
        <v>300000</v>
      </c>
      <c r="D12" s="5">
        <v>341000</v>
      </c>
      <c r="E12" s="11">
        <v>220000</v>
      </c>
      <c r="F12" s="5">
        <v>230000</v>
      </c>
      <c r="G12" s="5">
        <v>345000</v>
      </c>
      <c r="H12" s="9">
        <v>250000</v>
      </c>
      <c r="I12" s="5">
        <v>200000</v>
      </c>
      <c r="J12" s="4"/>
      <c r="K12" s="4"/>
      <c r="L12" s="4"/>
      <c r="M12" s="4"/>
      <c r="N12" s="4"/>
      <c r="O12" s="4"/>
    </row>
    <row r="13" spans="1:15" x14ac:dyDescent="0.2">
      <c r="A13" s="2" t="s">
        <v>14</v>
      </c>
      <c r="B13" s="5">
        <v>433000</v>
      </c>
      <c r="C13" s="5">
        <v>440000</v>
      </c>
      <c r="D13" s="5">
        <v>635000</v>
      </c>
      <c r="E13" s="11">
        <v>355000</v>
      </c>
      <c r="F13" s="5">
        <v>350000</v>
      </c>
      <c r="G13" s="5">
        <v>485000</v>
      </c>
      <c r="H13" s="9">
        <v>390000</v>
      </c>
      <c r="I13" s="4"/>
      <c r="J13" s="4"/>
      <c r="K13" s="4"/>
      <c r="L13" s="4"/>
      <c r="M13" s="4"/>
      <c r="N13" s="4"/>
      <c r="O13" s="4"/>
    </row>
    <row r="14" spans="1:15" x14ac:dyDescent="0.2">
      <c r="A14" s="2" t="s">
        <v>15</v>
      </c>
      <c r="B14" s="5">
        <v>972000</v>
      </c>
      <c r="C14" s="5"/>
      <c r="D14" s="5">
        <v>1430000</v>
      </c>
      <c r="E14" s="11">
        <v>910000</v>
      </c>
      <c r="F14" s="5"/>
      <c r="G14" s="5">
        <v>805000</v>
      </c>
      <c r="H14" s="9">
        <v>790000</v>
      </c>
      <c r="I14" s="5">
        <v>800000</v>
      </c>
      <c r="J14" s="4"/>
      <c r="K14" s="4"/>
      <c r="L14" s="4"/>
      <c r="M14" s="4"/>
      <c r="N14" s="4"/>
      <c r="O14" s="4"/>
    </row>
    <row r="15" spans="1:15" x14ac:dyDescent="0.2">
      <c r="A15" s="2" t="s">
        <v>16</v>
      </c>
      <c r="B15" s="5">
        <v>547000</v>
      </c>
      <c r="C15" s="5"/>
      <c r="D15" s="5">
        <v>745000</v>
      </c>
      <c r="E15" s="11">
        <v>420000</v>
      </c>
      <c r="F15" s="5">
        <v>480000</v>
      </c>
      <c r="G15" s="5">
        <v>500000</v>
      </c>
      <c r="H15" s="9">
        <v>430000</v>
      </c>
      <c r="I15" s="4"/>
      <c r="J15" s="4"/>
      <c r="K15" s="4"/>
      <c r="L15" s="4"/>
      <c r="M15" s="4"/>
      <c r="N15" s="4"/>
      <c r="O15" s="4"/>
    </row>
    <row r="16" spans="1:15" x14ac:dyDescent="0.2">
      <c r="A16" s="2" t="s">
        <v>17</v>
      </c>
      <c r="B16" s="5">
        <v>660500</v>
      </c>
      <c r="C16" s="5"/>
      <c r="D16" s="5">
        <v>873000</v>
      </c>
      <c r="E16" s="11">
        <v>480000</v>
      </c>
      <c r="F16" s="5">
        <v>600000</v>
      </c>
      <c r="G16" s="5">
        <v>620000</v>
      </c>
      <c r="H16" s="9">
        <v>540000</v>
      </c>
      <c r="I16" s="5">
        <v>450000</v>
      </c>
      <c r="J16" s="4"/>
      <c r="K16" s="4"/>
      <c r="L16" s="4"/>
      <c r="M16" s="4"/>
      <c r="N16" s="4"/>
      <c r="O16" s="4"/>
    </row>
    <row r="17" spans="1:15" x14ac:dyDescent="0.2">
      <c r="A17" s="2" t="s">
        <v>37</v>
      </c>
      <c r="B17" s="5"/>
      <c r="C17" s="5"/>
      <c r="D17" s="5">
        <v>257000</v>
      </c>
      <c r="E17" s="11">
        <v>180000</v>
      </c>
      <c r="F17" s="5"/>
      <c r="G17" s="5"/>
      <c r="H17" s="4"/>
      <c r="I17" s="4">
        <v>170000</v>
      </c>
      <c r="J17" s="4"/>
      <c r="K17" s="4"/>
      <c r="L17" s="4"/>
      <c r="M17" s="4"/>
      <c r="N17" s="4"/>
      <c r="O17" s="4"/>
    </row>
    <row r="21" spans="1:15" ht="41.25" customHeight="1" x14ac:dyDescent="0.2">
      <c r="B21" s="50" t="s">
        <v>40</v>
      </c>
      <c r="C21" s="50"/>
      <c r="D21" s="50" t="s">
        <v>41</v>
      </c>
      <c r="E21" s="50"/>
      <c r="F21" s="50" t="s">
        <v>42</v>
      </c>
      <c r="G21" s="50"/>
      <c r="H21" s="50" t="s">
        <v>43</v>
      </c>
      <c r="I21" s="50"/>
      <c r="J21" s="50" t="s">
        <v>44</v>
      </c>
      <c r="K21" s="50"/>
    </row>
    <row r="22" spans="1:15" ht="32" x14ac:dyDescent="0.2">
      <c r="B22" s="6" t="s">
        <v>39</v>
      </c>
      <c r="C22" s="6" t="s">
        <v>38</v>
      </c>
      <c r="D22" s="6" t="s">
        <v>39</v>
      </c>
      <c r="E22" s="6" t="s">
        <v>38</v>
      </c>
      <c r="F22" s="6" t="s">
        <v>39</v>
      </c>
      <c r="G22" s="6" t="s">
        <v>38</v>
      </c>
      <c r="H22" s="6" t="s">
        <v>39</v>
      </c>
      <c r="I22" s="6" t="s">
        <v>38</v>
      </c>
      <c r="J22" s="6" t="s">
        <v>39</v>
      </c>
      <c r="K22" s="6" t="s">
        <v>38</v>
      </c>
    </row>
    <row r="23" spans="1:15" x14ac:dyDescent="0.2">
      <c r="A23" s="2" t="s">
        <v>5</v>
      </c>
      <c r="B23" s="3">
        <f>C4-B4</f>
        <v>13500</v>
      </c>
      <c r="C23" s="8">
        <f>C4/B4-1</f>
        <v>0.26213592233009719</v>
      </c>
      <c r="D23" s="3">
        <f>D4-B4</f>
        <v>44500</v>
      </c>
      <c r="E23" s="8">
        <f>D4/B4-1</f>
        <v>0.86407766990291268</v>
      </c>
      <c r="F23" s="3">
        <f>E4-B4</f>
        <v>8500</v>
      </c>
      <c r="G23" s="8">
        <f>E4/B4-1</f>
        <v>0.16504854368932032</v>
      </c>
      <c r="H23" s="3"/>
      <c r="I23" s="8"/>
      <c r="J23" s="3">
        <f>G4-B4</f>
        <v>88500</v>
      </c>
      <c r="K23" s="8">
        <f>G4/B4-1</f>
        <v>1.7184466019417477</v>
      </c>
    </row>
    <row r="24" spans="1:15" x14ac:dyDescent="0.2">
      <c r="A24" s="2" t="s">
        <v>6</v>
      </c>
      <c r="B24" s="3">
        <f t="shared" ref="B24:B32" si="0">C5-B5</f>
        <v>8500</v>
      </c>
      <c r="C24" s="8">
        <f t="shared" ref="C24:C32" si="1">C5/B5-1</f>
        <v>0.15044247787610621</v>
      </c>
      <c r="D24" s="3">
        <f t="shared" ref="D24:D35" si="2">D5-B5</f>
        <v>26500</v>
      </c>
      <c r="E24" s="8">
        <f t="shared" ref="E24:E35" si="3">D5/B5-1</f>
        <v>0.46902654867256643</v>
      </c>
      <c r="F24" s="3">
        <f t="shared" ref="F24:F35" si="4">E5-B5</f>
        <v>7500</v>
      </c>
      <c r="G24" s="8">
        <f t="shared" ref="G24:G35" si="5">E5/B5-1</f>
        <v>0.13274336283185839</v>
      </c>
      <c r="H24" s="3"/>
      <c r="I24" s="8"/>
      <c r="J24" s="3">
        <f t="shared" ref="J24:J35" si="6">G5-B5</f>
        <v>88500</v>
      </c>
      <c r="K24" s="8">
        <f t="shared" ref="K24:K35" si="7">G5/B5-1</f>
        <v>1.5663716814159292</v>
      </c>
    </row>
    <row r="25" spans="1:15" x14ac:dyDescent="0.2">
      <c r="A25" s="2" t="s">
        <v>7</v>
      </c>
      <c r="B25" s="3">
        <f t="shared" si="0"/>
        <v>35000</v>
      </c>
      <c r="C25" s="8">
        <f t="shared" si="1"/>
        <v>0.53846153846153855</v>
      </c>
      <c r="D25" s="3">
        <f t="shared" si="2"/>
        <v>62000</v>
      </c>
      <c r="E25" s="8">
        <f t="shared" si="3"/>
        <v>0.95384615384615379</v>
      </c>
      <c r="F25" s="3">
        <f t="shared" si="4"/>
        <v>10000</v>
      </c>
      <c r="G25" s="8">
        <f t="shared" si="5"/>
        <v>0.15384615384615374</v>
      </c>
      <c r="H25" s="3"/>
      <c r="I25" s="8"/>
      <c r="J25" s="3">
        <f t="shared" si="6"/>
        <v>105000</v>
      </c>
      <c r="K25" s="8">
        <f t="shared" si="7"/>
        <v>1.6153846153846154</v>
      </c>
    </row>
    <row r="26" spans="1:15" x14ac:dyDescent="0.2">
      <c r="A26" s="2" t="s">
        <v>8</v>
      </c>
      <c r="B26" s="3">
        <f t="shared" si="0"/>
        <v>38000</v>
      </c>
      <c r="C26" s="8">
        <f t="shared" si="1"/>
        <v>0.39175257731958757</v>
      </c>
      <c r="D26" s="3">
        <f t="shared" si="2"/>
        <v>70000</v>
      </c>
      <c r="E26" s="8">
        <f t="shared" si="3"/>
        <v>0.72164948453608257</v>
      </c>
      <c r="F26" s="3">
        <f t="shared" si="4"/>
        <v>20000</v>
      </c>
      <c r="G26" s="8">
        <f t="shared" si="5"/>
        <v>0.20618556701030921</v>
      </c>
      <c r="H26" s="3"/>
      <c r="I26" s="8"/>
      <c r="J26" s="3">
        <f t="shared" si="6"/>
        <v>98000</v>
      </c>
      <c r="K26" s="8">
        <f t="shared" si="7"/>
        <v>1.0103092783505154</v>
      </c>
    </row>
    <row r="27" spans="1:15" x14ac:dyDescent="0.2">
      <c r="A27" s="2" t="s">
        <v>9</v>
      </c>
      <c r="B27" s="3">
        <f t="shared" si="0"/>
        <v>21200</v>
      </c>
      <c r="C27" s="8">
        <f t="shared" si="1"/>
        <v>0.15844544095665181</v>
      </c>
      <c r="D27" s="3">
        <f t="shared" si="2"/>
        <v>73200</v>
      </c>
      <c r="E27" s="8">
        <f t="shared" si="3"/>
        <v>0.547085201793722</v>
      </c>
      <c r="F27" s="3">
        <f t="shared" si="4"/>
        <v>-4800</v>
      </c>
      <c r="G27" s="8">
        <f t="shared" si="5"/>
        <v>-3.5874439461883401E-2</v>
      </c>
      <c r="H27" s="3"/>
      <c r="I27" s="8"/>
      <c r="J27" s="3">
        <f t="shared" si="6"/>
        <v>76200</v>
      </c>
      <c r="K27" s="8">
        <f t="shared" si="7"/>
        <v>0.56950672645739919</v>
      </c>
    </row>
    <row r="28" spans="1:15" x14ac:dyDescent="0.2">
      <c r="A28" s="2" t="s">
        <v>10</v>
      </c>
      <c r="B28" s="3">
        <f t="shared" si="0"/>
        <v>51000</v>
      </c>
      <c r="C28" s="8">
        <f t="shared" si="1"/>
        <v>0.38059701492537323</v>
      </c>
      <c r="D28" s="3">
        <f t="shared" si="2"/>
        <v>65000</v>
      </c>
      <c r="E28" s="8">
        <f t="shared" si="3"/>
        <v>0.4850746268656716</v>
      </c>
      <c r="F28" s="3">
        <f t="shared" si="4"/>
        <v>5000</v>
      </c>
      <c r="G28" s="8">
        <f t="shared" si="5"/>
        <v>3.7313432835820892E-2</v>
      </c>
      <c r="H28" s="3"/>
      <c r="I28" s="8"/>
      <c r="J28" s="3">
        <f t="shared" si="6"/>
        <v>101000</v>
      </c>
      <c r="K28" s="8">
        <f t="shared" si="7"/>
        <v>0.75373134328358216</v>
      </c>
    </row>
    <row r="29" spans="1:15" x14ac:dyDescent="0.2">
      <c r="A29" s="2" t="s">
        <v>11</v>
      </c>
      <c r="B29" s="3">
        <f t="shared" si="0"/>
        <v>45000</v>
      </c>
      <c r="C29" s="8">
        <f t="shared" si="1"/>
        <v>0.25</v>
      </c>
      <c r="D29" s="3">
        <f t="shared" si="2"/>
        <v>74000</v>
      </c>
      <c r="E29" s="8">
        <f t="shared" si="3"/>
        <v>0.4111111111111112</v>
      </c>
      <c r="F29" s="3">
        <f t="shared" si="4"/>
        <v>5000</v>
      </c>
      <c r="G29" s="8">
        <f t="shared" si="5"/>
        <v>2.7777777777777679E-2</v>
      </c>
      <c r="H29" s="3"/>
      <c r="I29" s="8"/>
      <c r="J29" s="3">
        <f t="shared" si="6"/>
        <v>92000</v>
      </c>
      <c r="K29" s="8">
        <f t="shared" si="7"/>
        <v>0.51111111111111107</v>
      </c>
    </row>
    <row r="30" spans="1:15" x14ac:dyDescent="0.2">
      <c r="A30" s="2" t="s">
        <v>12</v>
      </c>
      <c r="B30" s="3">
        <f t="shared" si="0"/>
        <v>50800</v>
      </c>
      <c r="C30" s="8">
        <f t="shared" si="1"/>
        <v>0.37853949329359171</v>
      </c>
      <c r="D30" s="3">
        <f t="shared" si="2"/>
        <v>87800</v>
      </c>
      <c r="E30" s="8">
        <f t="shared" si="3"/>
        <v>0.65424739195230996</v>
      </c>
      <c r="F30" s="3">
        <f t="shared" si="4"/>
        <v>9800</v>
      </c>
      <c r="G30" s="8">
        <f t="shared" si="5"/>
        <v>7.3025335320417328E-2</v>
      </c>
      <c r="H30" s="3">
        <f t="shared" ref="H30:H35" si="8">F12-B11</f>
        <v>95800</v>
      </c>
      <c r="I30" s="8">
        <f t="shared" ref="I30:I35" si="9">F11/B11-1</f>
        <v>-1</v>
      </c>
      <c r="J30" s="3">
        <f t="shared" si="6"/>
        <v>101800</v>
      </c>
      <c r="K30" s="8">
        <f t="shared" si="7"/>
        <v>0.75856929955290608</v>
      </c>
    </row>
    <row r="31" spans="1:15" x14ac:dyDescent="0.2">
      <c r="A31" s="2" t="s">
        <v>13</v>
      </c>
      <c r="B31" s="3">
        <f t="shared" si="0"/>
        <v>20000</v>
      </c>
      <c r="C31" s="8">
        <f t="shared" si="1"/>
        <v>7.1428571428571397E-2</v>
      </c>
      <c r="D31" s="3">
        <f t="shared" si="2"/>
        <v>61000</v>
      </c>
      <c r="E31" s="8">
        <f t="shared" si="3"/>
        <v>0.21785714285714275</v>
      </c>
      <c r="F31" s="3">
        <f t="shared" si="4"/>
        <v>-60000</v>
      </c>
      <c r="G31" s="8">
        <f t="shared" si="5"/>
        <v>-0.2142857142857143</v>
      </c>
      <c r="H31" s="3">
        <f t="shared" si="8"/>
        <v>70000</v>
      </c>
      <c r="I31" s="8">
        <f t="shared" si="9"/>
        <v>-0.1785714285714286</v>
      </c>
      <c r="J31" s="3">
        <f t="shared" si="6"/>
        <v>65000</v>
      </c>
      <c r="K31" s="8">
        <f t="shared" si="7"/>
        <v>0.23214285714285721</v>
      </c>
    </row>
    <row r="32" spans="1:15" x14ac:dyDescent="0.2">
      <c r="A32" s="2" t="s">
        <v>14</v>
      </c>
      <c r="B32" s="3">
        <f t="shared" si="0"/>
        <v>7000</v>
      </c>
      <c r="C32" s="8">
        <f t="shared" si="1"/>
        <v>1.616628175519641E-2</v>
      </c>
      <c r="D32" s="3">
        <f t="shared" si="2"/>
        <v>202000</v>
      </c>
      <c r="E32" s="8">
        <f t="shared" si="3"/>
        <v>0.46651270207852202</v>
      </c>
      <c r="F32" s="3">
        <f t="shared" si="4"/>
        <v>-78000</v>
      </c>
      <c r="G32" s="8">
        <f t="shared" si="5"/>
        <v>-0.18013856812933027</v>
      </c>
      <c r="H32" s="3">
        <f t="shared" si="8"/>
        <v>-433000</v>
      </c>
      <c r="I32" s="8">
        <f t="shared" si="9"/>
        <v>-0.19168591224018472</v>
      </c>
      <c r="J32" s="3">
        <f t="shared" si="6"/>
        <v>52000</v>
      </c>
      <c r="K32" s="8">
        <f t="shared" si="7"/>
        <v>0.12009237875288692</v>
      </c>
    </row>
    <row r="33" spans="1:11" x14ac:dyDescent="0.2">
      <c r="A33" s="2" t="s">
        <v>15</v>
      </c>
      <c r="B33" s="3"/>
      <c r="C33" s="4"/>
      <c r="D33" s="3">
        <f t="shared" si="2"/>
        <v>458000</v>
      </c>
      <c r="E33" s="8">
        <f t="shared" si="3"/>
        <v>0.4711934156378601</v>
      </c>
      <c r="F33" s="3">
        <f t="shared" si="4"/>
        <v>-62000</v>
      </c>
      <c r="G33" s="8">
        <f t="shared" si="5"/>
        <v>-6.3786008230452662E-2</v>
      </c>
      <c r="H33" s="3"/>
      <c r="I33" s="8"/>
      <c r="J33" s="3">
        <f t="shared" si="6"/>
        <v>-167000</v>
      </c>
      <c r="K33" s="8">
        <f t="shared" si="7"/>
        <v>-0.17181069958847739</v>
      </c>
    </row>
    <row r="34" spans="1:11" x14ac:dyDescent="0.2">
      <c r="A34" s="2" t="s">
        <v>16</v>
      </c>
      <c r="B34" s="3"/>
      <c r="C34" s="4"/>
      <c r="D34" s="3">
        <f t="shared" si="2"/>
        <v>198000</v>
      </c>
      <c r="E34" s="8">
        <f t="shared" si="3"/>
        <v>0.36197440585009133</v>
      </c>
      <c r="F34" s="3">
        <f t="shared" si="4"/>
        <v>-127000</v>
      </c>
      <c r="G34" s="8">
        <f t="shared" si="5"/>
        <v>-0.23217550274223031</v>
      </c>
      <c r="H34" s="3">
        <f t="shared" si="8"/>
        <v>53000</v>
      </c>
      <c r="I34" s="8">
        <f t="shared" si="9"/>
        <v>-0.12248628884826329</v>
      </c>
      <c r="J34" s="3">
        <f t="shared" si="6"/>
        <v>-47000</v>
      </c>
      <c r="K34" s="8">
        <f t="shared" si="7"/>
        <v>-8.5923217550274211E-2</v>
      </c>
    </row>
    <row r="35" spans="1:11" x14ac:dyDescent="0.2">
      <c r="A35" s="2" t="s">
        <v>17</v>
      </c>
      <c r="B35" s="3"/>
      <c r="C35" s="4"/>
      <c r="D35" s="3">
        <f t="shared" si="2"/>
        <v>212500</v>
      </c>
      <c r="E35" s="8">
        <f t="shared" si="3"/>
        <v>0.32172596517789542</v>
      </c>
      <c r="F35" s="3">
        <f t="shared" si="4"/>
        <v>-180500</v>
      </c>
      <c r="G35" s="8">
        <f t="shared" si="5"/>
        <v>-0.27327781983345945</v>
      </c>
      <c r="H35" s="3">
        <f t="shared" si="8"/>
        <v>-660500</v>
      </c>
      <c r="I35" s="8">
        <f t="shared" si="9"/>
        <v>-9.1597274791824335E-2</v>
      </c>
      <c r="J35" s="3">
        <f t="shared" si="6"/>
        <v>-40500</v>
      </c>
      <c r="K35" s="8">
        <f t="shared" si="7"/>
        <v>-6.1317183951551835E-2</v>
      </c>
    </row>
    <row r="36" spans="1:11" x14ac:dyDescent="0.2">
      <c r="A36" s="2" t="s">
        <v>37</v>
      </c>
      <c r="B36" s="3"/>
      <c r="C36" s="4"/>
      <c r="D36" s="3"/>
      <c r="E36" s="8"/>
      <c r="F36" s="3"/>
      <c r="G36" s="8"/>
      <c r="H36" s="3"/>
      <c r="I36" s="8"/>
      <c r="J36" s="3"/>
      <c r="K36" s="8"/>
    </row>
    <row r="39" spans="1:11" ht="32" x14ac:dyDescent="0.2">
      <c r="B39" s="6" t="s">
        <v>32</v>
      </c>
      <c r="C39" s="6" t="s">
        <v>49</v>
      </c>
    </row>
    <row r="40" spans="1:11" ht="16" x14ac:dyDescent="0.2">
      <c r="B40" s="7" t="s">
        <v>31</v>
      </c>
      <c r="C40" s="7" t="s">
        <v>31</v>
      </c>
    </row>
    <row r="41" spans="1:11" x14ac:dyDescent="0.2">
      <c r="A41" s="2" t="s">
        <v>5</v>
      </c>
      <c r="B41" s="12">
        <v>65000</v>
      </c>
      <c r="C41" s="10">
        <v>50000</v>
      </c>
    </row>
    <row r="42" spans="1:11" x14ac:dyDescent="0.2">
      <c r="A42" s="2" t="s">
        <v>6</v>
      </c>
      <c r="B42" s="12">
        <v>65000</v>
      </c>
      <c r="C42" s="10">
        <v>48800</v>
      </c>
    </row>
    <row r="43" spans="1:11" x14ac:dyDescent="0.2">
      <c r="A43" s="2" t="s">
        <v>7</v>
      </c>
      <c r="B43" s="12">
        <v>100000</v>
      </c>
      <c r="C43" s="10">
        <v>57950</v>
      </c>
    </row>
    <row r="44" spans="1:11" x14ac:dyDescent="0.2">
      <c r="A44" s="2" t="s">
        <v>8</v>
      </c>
      <c r="B44" s="12">
        <v>135000</v>
      </c>
      <c r="C44" s="10">
        <v>86700</v>
      </c>
    </row>
    <row r="45" spans="1:11" x14ac:dyDescent="0.2">
      <c r="A45" s="2" t="s">
        <v>9</v>
      </c>
      <c r="B45" s="12">
        <v>155000</v>
      </c>
      <c r="C45" s="10">
        <v>116917</v>
      </c>
    </row>
    <row r="46" spans="1:11" x14ac:dyDescent="0.2">
      <c r="A46" s="2" t="s">
        <v>10</v>
      </c>
      <c r="B46" s="12">
        <v>185000</v>
      </c>
      <c r="C46" s="10">
        <v>100000</v>
      </c>
    </row>
    <row r="47" spans="1:11" x14ac:dyDescent="0.2">
      <c r="A47" s="2" t="s">
        <v>11</v>
      </c>
      <c r="B47" s="12">
        <v>225000</v>
      </c>
      <c r="C47" s="10">
        <v>175000</v>
      </c>
    </row>
    <row r="48" spans="1:11" x14ac:dyDescent="0.2">
      <c r="A48" s="2" t="s">
        <v>12</v>
      </c>
      <c r="B48" s="12">
        <v>185000</v>
      </c>
      <c r="C48" s="10">
        <v>131000</v>
      </c>
    </row>
    <row r="49" spans="1:3" x14ac:dyDescent="0.2">
      <c r="A49" s="2" t="s">
        <v>13</v>
      </c>
      <c r="B49" s="12">
        <v>300000</v>
      </c>
      <c r="C49" s="10">
        <v>219300</v>
      </c>
    </row>
    <row r="50" spans="1:3" x14ac:dyDescent="0.2">
      <c r="A50" s="2" t="s">
        <v>14</v>
      </c>
      <c r="B50" s="12">
        <v>440000</v>
      </c>
      <c r="C50" s="10">
        <v>336600</v>
      </c>
    </row>
    <row r="51" spans="1:3" x14ac:dyDescent="0.2">
      <c r="A51" s="2" t="s">
        <v>15</v>
      </c>
      <c r="B51" s="12"/>
      <c r="C51" s="10">
        <v>975000</v>
      </c>
    </row>
    <row r="52" spans="1:3" x14ac:dyDescent="0.2">
      <c r="A52" s="2" t="s">
        <v>16</v>
      </c>
      <c r="B52" s="12"/>
      <c r="C52" s="10">
        <v>440000</v>
      </c>
    </row>
    <row r="53" spans="1:3" x14ac:dyDescent="0.2">
      <c r="A53" s="2" t="s">
        <v>17</v>
      </c>
      <c r="B53" s="12"/>
      <c r="C53" s="10">
        <v>450000</v>
      </c>
    </row>
    <row r="54" spans="1:3" x14ac:dyDescent="0.2">
      <c r="A54" s="2" t="s">
        <v>37</v>
      </c>
      <c r="B54" s="12"/>
      <c r="C54" s="10">
        <v>162667</v>
      </c>
    </row>
  </sheetData>
  <mergeCells count="5">
    <mergeCell ref="B21:C21"/>
    <mergeCell ref="D21:E21"/>
    <mergeCell ref="F21:G21"/>
    <mergeCell ref="H21:I21"/>
    <mergeCell ref="J21:K21"/>
  </mergeCells>
  <conditionalFormatting sqref="A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">
    <cfRule type="colorScale" priority="2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5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">
    <cfRule type="colorScale" priority="2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1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90FB-A2D8-4F78-B872-426756A345C9}">
  <sheetPr codeName="Лист4"/>
  <dimension ref="A2:R20"/>
  <sheetViews>
    <sheetView zoomScale="55" zoomScaleNormal="55" workbookViewId="0">
      <selection activeCell="R20" sqref="R20"/>
    </sheetView>
  </sheetViews>
  <sheetFormatPr baseColWidth="10" defaultColWidth="8.83203125" defaultRowHeight="15" x14ac:dyDescent="0.2"/>
  <cols>
    <col min="1" max="1" width="38.6640625" bestFit="1" customWidth="1"/>
    <col min="2" max="2" width="10.83203125" bestFit="1" customWidth="1"/>
    <col min="3" max="4" width="24.5" customWidth="1"/>
    <col min="5" max="5" width="13.6640625" customWidth="1"/>
    <col min="6" max="7" width="24.5" customWidth="1"/>
    <col min="8" max="8" width="14.1640625" customWidth="1"/>
    <col min="9" max="10" width="24.5" customWidth="1"/>
    <col min="11" max="11" width="14.33203125" customWidth="1"/>
    <col min="12" max="13" width="24.5" customWidth="1"/>
    <col min="14" max="14" width="13.6640625" customWidth="1"/>
    <col min="15" max="16" width="24.5" customWidth="1"/>
    <col min="17" max="17" width="26.5" customWidth="1"/>
    <col min="18" max="18" width="22.5" bestFit="1" customWidth="1"/>
  </cols>
  <sheetData>
    <row r="2" spans="1:18" ht="16" thickBot="1" x14ac:dyDescent="0.25"/>
    <row r="3" spans="1:18" ht="26" thickBot="1" x14ac:dyDescent="0.25">
      <c r="A3" s="15" t="s">
        <v>53</v>
      </c>
      <c r="B3" s="16" t="s">
        <v>54</v>
      </c>
      <c r="C3" s="17">
        <v>46216</v>
      </c>
      <c r="D3" s="17">
        <v>46216</v>
      </c>
      <c r="E3" s="16" t="s">
        <v>54</v>
      </c>
      <c r="F3" s="17">
        <v>46217</v>
      </c>
      <c r="G3" s="17">
        <v>46217</v>
      </c>
      <c r="H3" s="18" t="s">
        <v>54</v>
      </c>
      <c r="I3" s="17">
        <v>46218</v>
      </c>
      <c r="J3" s="17">
        <v>46218</v>
      </c>
      <c r="K3" s="19" t="s">
        <v>54</v>
      </c>
      <c r="L3" s="17">
        <v>46219</v>
      </c>
      <c r="M3" s="17">
        <v>46219</v>
      </c>
      <c r="N3" s="19" t="s">
        <v>54</v>
      </c>
      <c r="O3" s="17">
        <v>46220</v>
      </c>
      <c r="P3" s="17">
        <v>46220</v>
      </c>
    </row>
    <row r="4" spans="1:18" ht="36.75" customHeight="1" x14ac:dyDescent="0.25">
      <c r="A4" s="20"/>
      <c r="B4" s="21" t="s">
        <v>55</v>
      </c>
      <c r="C4" s="22" t="s">
        <v>56</v>
      </c>
      <c r="D4" s="22" t="s">
        <v>56</v>
      </c>
      <c r="E4" s="23" t="s">
        <v>57</v>
      </c>
      <c r="F4" s="24" t="s">
        <v>58</v>
      </c>
      <c r="G4" s="24" t="s">
        <v>58</v>
      </c>
      <c r="H4" s="25" t="s">
        <v>59</v>
      </c>
      <c r="I4" s="22" t="s">
        <v>60</v>
      </c>
      <c r="J4" s="22" t="s">
        <v>60</v>
      </c>
      <c r="K4" s="26" t="s">
        <v>61</v>
      </c>
      <c r="L4" s="24" t="s">
        <v>62</v>
      </c>
      <c r="M4" s="24" t="s">
        <v>62</v>
      </c>
      <c r="N4" s="26" t="s">
        <v>63</v>
      </c>
      <c r="O4" s="24" t="s">
        <v>64</v>
      </c>
      <c r="P4" s="24" t="s">
        <v>64</v>
      </c>
    </row>
    <row r="5" spans="1:18" ht="45.75" customHeight="1" x14ac:dyDescent="0.2">
      <c r="A5" s="27" t="s">
        <v>65</v>
      </c>
      <c r="B5" s="28">
        <v>0.375</v>
      </c>
      <c r="C5" s="30"/>
      <c r="D5" s="29"/>
      <c r="E5" s="37">
        <v>0.375</v>
      </c>
      <c r="F5" s="30"/>
      <c r="G5" s="30"/>
      <c r="H5" s="37">
        <v>0.375</v>
      </c>
      <c r="I5" s="30"/>
      <c r="J5" s="29"/>
      <c r="K5" s="37">
        <v>0.375</v>
      </c>
      <c r="L5" s="30"/>
      <c r="M5" s="29"/>
      <c r="N5" s="37">
        <v>0.375</v>
      </c>
      <c r="O5" s="30"/>
      <c r="P5" s="29"/>
    </row>
    <row r="6" spans="1:18" ht="45.75" customHeight="1" x14ac:dyDescent="0.2">
      <c r="A6" s="51" t="s">
        <v>66</v>
      </c>
      <c r="B6" s="31">
        <v>0.375</v>
      </c>
      <c r="C6" s="29"/>
      <c r="D6" s="29"/>
      <c r="E6" s="38"/>
      <c r="F6" s="29"/>
      <c r="G6" s="29"/>
      <c r="H6" s="38">
        <v>0.41666666666666669</v>
      </c>
      <c r="I6" s="29"/>
      <c r="J6" s="4"/>
      <c r="K6" s="38"/>
      <c r="L6" s="29"/>
      <c r="M6" s="29"/>
      <c r="N6" s="38"/>
      <c r="O6" s="29"/>
      <c r="P6" s="4"/>
    </row>
    <row r="7" spans="1:18" ht="45.75" customHeight="1" x14ac:dyDescent="0.2">
      <c r="A7" s="52"/>
      <c r="B7" s="31"/>
      <c r="C7" s="29"/>
      <c r="D7" s="29"/>
      <c r="E7" s="38"/>
      <c r="F7" s="29"/>
      <c r="G7" s="29"/>
      <c r="H7" s="38">
        <v>0.45833333333333331</v>
      </c>
      <c r="I7" s="29"/>
      <c r="J7" s="29"/>
      <c r="K7" s="38"/>
      <c r="L7" s="29"/>
      <c r="M7" s="29"/>
      <c r="N7" s="38"/>
      <c r="O7" s="4"/>
      <c r="P7" s="4"/>
    </row>
    <row r="8" spans="1:18" ht="45.75" customHeight="1" x14ac:dyDescent="0.2">
      <c r="A8" s="32" t="s">
        <v>37</v>
      </c>
      <c r="B8" s="31"/>
      <c r="C8" s="29"/>
      <c r="D8" s="29"/>
      <c r="E8" s="38"/>
      <c r="F8" s="29"/>
      <c r="G8" s="29"/>
      <c r="H8" s="38"/>
      <c r="I8" s="29"/>
      <c r="J8" s="29"/>
      <c r="K8" s="38"/>
      <c r="L8" s="30"/>
      <c r="M8" s="30"/>
      <c r="N8" s="38"/>
      <c r="O8" s="4"/>
      <c r="P8" s="4"/>
    </row>
    <row r="9" spans="1:18" ht="45.75" customHeight="1" x14ac:dyDescent="0.2">
      <c r="A9" s="51" t="s">
        <v>68</v>
      </c>
      <c r="B9" s="31">
        <v>0.41666666666666669</v>
      </c>
      <c r="C9" s="29"/>
      <c r="D9" s="29"/>
      <c r="E9" s="38">
        <v>0.375</v>
      </c>
      <c r="F9" s="29"/>
      <c r="G9" s="29"/>
      <c r="H9" s="38"/>
      <c r="I9" s="29"/>
      <c r="J9" s="4"/>
      <c r="K9" s="38">
        <v>0.375</v>
      </c>
      <c r="L9" s="29"/>
      <c r="M9" s="29"/>
      <c r="N9" s="38"/>
      <c r="O9" s="29"/>
      <c r="P9" s="29"/>
    </row>
    <row r="10" spans="1:18" ht="45.75" customHeight="1" x14ac:dyDescent="0.2">
      <c r="A10" s="52"/>
      <c r="B10" s="31"/>
      <c r="C10" s="29"/>
      <c r="D10" s="29"/>
      <c r="E10" s="38"/>
      <c r="F10" s="29"/>
      <c r="G10" s="29"/>
      <c r="H10" s="38"/>
      <c r="I10" s="4"/>
      <c r="J10" s="29"/>
      <c r="K10" s="38"/>
      <c r="L10" s="29"/>
      <c r="M10" s="29"/>
      <c r="N10" s="38"/>
      <c r="O10" s="4"/>
      <c r="P10" s="4"/>
    </row>
    <row r="11" spans="1:18" ht="45.75" customHeight="1" x14ac:dyDescent="0.2">
      <c r="A11" s="39" t="s">
        <v>69</v>
      </c>
      <c r="B11" s="31">
        <v>0.45833333333333331</v>
      </c>
      <c r="C11" s="29">
        <v>190000</v>
      </c>
      <c r="D11" s="29"/>
      <c r="E11" s="38">
        <v>0.41666666666666669</v>
      </c>
      <c r="F11" s="29">
        <v>190000</v>
      </c>
      <c r="G11" s="29"/>
      <c r="H11" s="38">
        <v>0.45833333333333331</v>
      </c>
      <c r="I11" s="29">
        <v>190000</v>
      </c>
      <c r="J11" s="29"/>
      <c r="K11" s="38">
        <v>0.41666666666666669</v>
      </c>
      <c r="L11" s="29">
        <v>190000</v>
      </c>
      <c r="M11" s="29"/>
      <c r="N11" s="38">
        <v>0.375</v>
      </c>
      <c r="O11" s="29">
        <v>190000</v>
      </c>
      <c r="P11" s="4"/>
      <c r="Q11" s="29">
        <f>C11+F11+I11+L11+O11</f>
        <v>950000</v>
      </c>
      <c r="R11" s="29">
        <f>Q11*4</f>
        <v>3800000</v>
      </c>
    </row>
    <row r="12" spans="1:18" ht="45.75" customHeight="1" x14ac:dyDescent="0.2">
      <c r="A12" s="33" t="s">
        <v>70</v>
      </c>
      <c r="B12" s="31">
        <v>0.5</v>
      </c>
      <c r="C12" s="29"/>
      <c r="D12" s="29"/>
      <c r="E12" s="38"/>
      <c r="F12" s="29"/>
      <c r="G12" s="29"/>
      <c r="H12" s="38">
        <v>0.54166666666666663</v>
      </c>
      <c r="I12" s="29"/>
      <c r="J12" s="29"/>
      <c r="K12" s="38"/>
      <c r="L12" s="30"/>
      <c r="M12" s="30"/>
      <c r="N12" s="38"/>
      <c r="O12" s="29"/>
      <c r="P12" s="4"/>
      <c r="R12" s="29"/>
    </row>
    <row r="13" spans="1:18" ht="45.75" customHeight="1" x14ac:dyDescent="0.2">
      <c r="A13" s="40" t="s">
        <v>71</v>
      </c>
      <c r="B13" s="31">
        <v>0.5</v>
      </c>
      <c r="C13" s="29"/>
      <c r="D13" s="4"/>
      <c r="E13" s="38">
        <v>0.41666666666666669</v>
      </c>
      <c r="F13" s="29"/>
      <c r="G13" s="29"/>
      <c r="H13" s="38">
        <v>0.54166666666666663</v>
      </c>
      <c r="I13" s="29"/>
      <c r="J13" s="4"/>
      <c r="K13" s="38"/>
      <c r="L13" s="30"/>
      <c r="M13" s="30"/>
      <c r="N13" s="38"/>
      <c r="O13" s="4"/>
      <c r="P13" s="4"/>
      <c r="R13" s="29"/>
    </row>
    <row r="14" spans="1:18" ht="45.75" customHeight="1" x14ac:dyDescent="0.2">
      <c r="A14" s="40" t="s">
        <v>72</v>
      </c>
      <c r="B14" s="31">
        <v>0.58333333333333337</v>
      </c>
      <c r="C14" s="29">
        <v>260000</v>
      </c>
      <c r="D14" s="4"/>
      <c r="E14" s="38">
        <v>0.45833333333333331</v>
      </c>
      <c r="F14" s="29">
        <v>260000</v>
      </c>
      <c r="G14" s="29"/>
      <c r="H14" s="37"/>
      <c r="I14" s="29"/>
      <c r="J14" s="4"/>
      <c r="K14" s="38">
        <v>0.45833333333333331</v>
      </c>
      <c r="L14" s="29">
        <v>260000</v>
      </c>
      <c r="M14" s="29"/>
      <c r="N14" s="38">
        <v>0.41666666666666669</v>
      </c>
      <c r="O14" s="29">
        <v>260000</v>
      </c>
      <c r="P14" s="29"/>
      <c r="Q14" s="29">
        <f>C14+F14+L14+O14</f>
        <v>1040000</v>
      </c>
      <c r="R14" s="29">
        <f>Q14*4</f>
        <v>4160000</v>
      </c>
    </row>
    <row r="15" spans="1:18" ht="45.75" customHeight="1" x14ac:dyDescent="0.2">
      <c r="A15" s="40" t="s">
        <v>67</v>
      </c>
      <c r="B15" s="31"/>
      <c r="C15" s="34"/>
      <c r="D15" s="29"/>
      <c r="E15" s="38"/>
      <c r="F15" s="29"/>
      <c r="G15" s="29"/>
      <c r="H15" s="37"/>
      <c r="I15" s="29"/>
      <c r="J15" s="29"/>
      <c r="K15" s="38">
        <v>0.54166666666666663</v>
      </c>
      <c r="L15" s="29">
        <v>450000</v>
      </c>
      <c r="M15" s="29"/>
      <c r="N15" s="38">
        <v>0.45833333333333331</v>
      </c>
      <c r="O15" s="29">
        <v>450000</v>
      </c>
      <c r="P15" s="29"/>
      <c r="Q15" s="29">
        <f>L15+O15</f>
        <v>900000</v>
      </c>
      <c r="R15" s="29">
        <f>Q15*4</f>
        <v>3600000</v>
      </c>
    </row>
    <row r="16" spans="1:18" ht="45.75" customHeight="1" x14ac:dyDescent="0.2">
      <c r="A16" s="32" t="s">
        <v>73</v>
      </c>
      <c r="B16" s="31"/>
      <c r="C16" s="29"/>
      <c r="D16" s="30"/>
      <c r="E16" s="38"/>
      <c r="F16" s="29"/>
      <c r="G16" s="29"/>
      <c r="H16" s="38"/>
      <c r="I16" s="29"/>
      <c r="J16" s="4"/>
      <c r="K16" s="38"/>
      <c r="L16" s="4"/>
      <c r="M16" s="29"/>
      <c r="N16" s="38">
        <v>0.5</v>
      </c>
      <c r="O16" s="29"/>
      <c r="P16" s="4"/>
      <c r="R16" s="41">
        <f>SUM(R11:R15)</f>
        <v>11560000</v>
      </c>
    </row>
    <row r="17" spans="1:18" ht="45.75" customHeight="1" x14ac:dyDescent="0.2">
      <c r="A17" s="32" t="s">
        <v>74</v>
      </c>
      <c r="B17" s="31">
        <v>0.625</v>
      </c>
      <c r="C17" s="29"/>
      <c r="D17" s="29"/>
      <c r="E17" s="38"/>
      <c r="F17" s="29"/>
      <c r="G17" s="29"/>
      <c r="H17" s="38">
        <v>0.58333333333333337</v>
      </c>
      <c r="I17" s="29"/>
      <c r="J17" s="30"/>
      <c r="K17" s="38"/>
      <c r="L17" s="29"/>
      <c r="M17" s="29"/>
      <c r="N17" s="38"/>
      <c r="O17" s="29"/>
      <c r="P17" s="4"/>
    </row>
    <row r="18" spans="1:18" ht="45.75" customHeight="1" x14ac:dyDescent="0.2">
      <c r="A18" s="32" t="s">
        <v>75</v>
      </c>
      <c r="B18" s="31"/>
      <c r="C18" s="29"/>
      <c r="D18" s="29"/>
      <c r="E18" s="38">
        <v>0.5</v>
      </c>
      <c r="F18" s="29"/>
      <c r="G18" s="29"/>
      <c r="H18" s="38"/>
      <c r="I18" s="4"/>
      <c r="J18" s="29"/>
      <c r="K18" s="38">
        <v>0.58333333333333337</v>
      </c>
      <c r="L18" s="29"/>
      <c r="M18" s="29"/>
      <c r="N18" s="38">
        <v>0.5</v>
      </c>
      <c r="O18" s="29">
        <v>950000</v>
      </c>
      <c r="P18" s="29"/>
      <c r="R18" s="41">
        <f>O18*4</f>
        <v>3800000</v>
      </c>
    </row>
    <row r="19" spans="1:18" ht="45.75" customHeight="1" x14ac:dyDescent="0.3">
      <c r="A19" s="40" t="s">
        <v>76</v>
      </c>
      <c r="B19" s="31">
        <v>0.625</v>
      </c>
      <c r="C19" s="29"/>
      <c r="D19" s="29"/>
      <c r="E19" s="38">
        <v>0.54166666666666663</v>
      </c>
      <c r="F19" s="29"/>
      <c r="G19" s="29"/>
      <c r="H19" s="38"/>
      <c r="I19" s="29"/>
      <c r="J19" s="35"/>
      <c r="K19" s="38">
        <v>0.625</v>
      </c>
      <c r="L19" s="29"/>
      <c r="M19" s="29"/>
      <c r="N19" s="38">
        <v>0.54166666666666663</v>
      </c>
      <c r="O19" s="29"/>
      <c r="P19" s="4"/>
    </row>
    <row r="20" spans="1:18" ht="45.75" customHeight="1" thickBot="1" x14ac:dyDescent="0.25">
      <c r="A20" s="36" t="s">
        <v>77</v>
      </c>
      <c r="B20" s="31">
        <v>0.66666666666666663</v>
      </c>
      <c r="C20" s="29"/>
      <c r="D20" s="29"/>
      <c r="E20" s="38">
        <v>0.58333333333333337</v>
      </c>
      <c r="F20" s="29"/>
      <c r="G20" s="29"/>
      <c r="H20" s="38">
        <v>0.58333333333333337</v>
      </c>
      <c r="I20" s="29"/>
      <c r="J20" s="29"/>
      <c r="K20" s="38"/>
      <c r="L20" s="29"/>
      <c r="M20" s="29"/>
      <c r="N20" s="38"/>
      <c r="O20" s="4"/>
      <c r="P20" s="4"/>
    </row>
  </sheetData>
  <mergeCells count="2">
    <mergeCell ref="A6:A7"/>
    <mergeCell ref="A9:A10"/>
  </mergeCells>
  <dataValidations count="1">
    <dataValidation allowBlank="1" showDropDown="1" showInputMessage="1" showErrorMessage="1" sqref="A5:A6 A11:A20 J10:N10 C18:H18 F12:G13 J18:P18 I9 C12:D12 H13:I13 E6:I6 K6:O6 K9:P9 C5:P5 C16:I16 H12:J12 C20:N20 O11:O12 D15:L15 K12:M14 E13 L11:M11 C11:J11 C19:O19 C13:C14 B5:B20 I7:N8 E14:I14 C17:O17 N12:N15 M16:N16 K16 C6:D10 E7:H10 A8:A9 O14:P15" xr:uid="{A88EAE3D-D183-4A19-8E28-9EFD13BB7DC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Актуальные </vt:lpstr>
      <vt:lpstr>Лист3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Каменский Дмитрий Дмитриевич</dc:creator>
  <cp:lastModifiedBy>Станислав Хвостов</cp:lastModifiedBy>
  <cp:lastPrinted>2023-01-20T11:26:15Z</cp:lastPrinted>
  <dcterms:created xsi:type="dcterms:W3CDTF">2023-01-16T07:55:05Z</dcterms:created>
  <dcterms:modified xsi:type="dcterms:W3CDTF">2026-09-29T10:46:43Z</dcterms:modified>
</cp:coreProperties>
</file>